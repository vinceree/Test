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;[Red]\-#,##0.00\ &quot;€&quot;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charset val="1"/>
      <color indexed="8"/>
      <sz val="10"/>
    </font>
    <font>
      <name val="Microsoft Sans Serif"/>
      <charset val="1"/>
      <color indexed="8"/>
      <sz val="10"/>
    </font>
    <font>
      <b val="1"/>
      <sz val="12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 readingOrder="1"/>
    </xf>
    <xf numFmtId="0" fontId="2" fillId="0" borderId="0" applyAlignment="1" pivotButton="0" quotePrefix="0" xfId="0">
      <alignment vertical="top" wrapText="1" readingOrder="1"/>
    </xf>
    <xf numFmtId="0" fontId="2" fillId="0" borderId="0" applyAlignment="1" pivotButton="0" quotePrefix="0" xfId="0">
      <alignment wrapText="1" readingOrder="1"/>
    </xf>
    <xf numFmtId="164" fontId="0" fillId="0" borderId="0" pivotButton="0" quotePrefix="0" xfId="0"/>
    <xf numFmtId="0" fontId="1" fillId="0" borderId="0" applyAlignment="1" pivotButton="0" quotePrefix="0" xfId="1">
      <alignment vertical="top" wrapText="1" readingOrder="1"/>
    </xf>
    <xf numFmtId="0" fontId="0" fillId="0" borderId="0" applyAlignment="1" pivotButton="0" quotePrefix="0" xfId="0">
      <alignment horizontal="left" vertical="top" wrapText="1"/>
    </xf>
    <xf numFmtId="0" fontId="1" fillId="0" borderId="0" applyAlignment="1" pivotButton="0" quotePrefix="0" xfId="1">
      <alignment wrapText="1"/>
    </xf>
    <xf numFmtId="0" fontId="0" fillId="0" borderId="0" applyAlignment="1" pivotButton="0" quotePrefix="0" xfId="0">
      <alignment wrapText="1"/>
    </xf>
    <xf numFmtId="164" fontId="2" fillId="0" borderId="0" applyAlignment="1" pivotButton="0" quotePrefix="0" xfId="0">
      <alignment vertical="top" wrapText="1" readingOrder="1"/>
    </xf>
    <xf numFmtId="0" fontId="1" fillId="0" borderId="0" pivotButton="0" quotePrefix="0" xfId="1"/>
    <xf numFmtId="4" fontId="0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165" fontId="2" fillId="0" borderId="0" applyAlignment="1" pivotButton="0" quotePrefix="0" xfId="0">
      <alignment vertical="top" wrapText="1" readingOrder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2" borderId="0" pivotButton="0" quotePrefix="0" xfId="0"/>
    <xf numFmtId="0" fontId="6" fillId="0" borderId="0" pivotButton="0" quotePrefix="0" xfId="0"/>
    <xf numFmtId="4" fontId="2" fillId="0" borderId="0" applyAlignment="1" pivotButton="0" quotePrefix="0" xfId="0">
      <alignment wrapText="1" readingOrder="1"/>
    </xf>
    <xf numFmtId="4" fontId="2" fillId="0" borderId="0" applyAlignment="1" pivotButton="0" quotePrefix="0" xfId="0">
      <alignment vertical="top" wrapText="1" readingOrder="1"/>
    </xf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:b:/s/IBG_Gewerbe/IQC30NCBU9A_TKQDbCNJgepgAZR8CeUhfyKy5Hk9NjtHBN0?e=96lFEy" TargetMode="External" Id="rId1" /><Relationship Type="http://schemas.openxmlformats.org/officeDocument/2006/relationships/hyperlink" Target="https://www.metz-connect.com/home/produkte/p-cabling/anschlussdosen/rj45.ea.de.html" TargetMode="External" Id="rId2" /><Relationship Type="http://schemas.openxmlformats.org/officeDocument/2006/relationships/hyperlink" Target="../../../../../../../:b:/s/IBG_Gewerbe/IQC30NCBU9A_TKQDbCNJgepgAZR8CeUhfyKy5Hk9NjtHBN0?e=96lFEy" TargetMode="External" Id="rId3" /><Relationship Type="http://schemas.openxmlformats.org/officeDocument/2006/relationships/hyperlink" Target="https://www.metz-connect.com/home/produkte/p-cabling/anschlussdosen/rj45.ea.de.html" TargetMode="External" Id="rId4" /><Relationship Type="http://schemas.openxmlformats.org/officeDocument/2006/relationships/hyperlink" Target="../../../../../../../:b:/s/IBG_Gewerbe/IQC30NCBU9A_TKQDbCNJgepgAZR8CeUhfyKy5Hk9NjtHBN0?e=96lFEy" TargetMode="External" Id="rId5" /><Relationship Type="http://schemas.openxmlformats.org/officeDocument/2006/relationships/hyperlink" Target="https://www.metz-connect.com/home/produkte/p-cabling/anschlussdosen/rj45.ea.de.html" TargetMode="External" Id="rId6" /><Relationship Type="http://schemas.openxmlformats.org/officeDocument/2006/relationships/hyperlink" Target="../../../../../../../:b:/s/IBG_Gewerbe/IQC30NCBU9A_TKQDbCNJgepgAZR8CeUhfyKy5Hk9NjtHBN0?e=96lFEy" TargetMode="External" Id="rId7" /><Relationship Type="http://schemas.openxmlformats.org/officeDocument/2006/relationships/hyperlink" Target="https://www.metz-connect.com/home/produkte/p-cabling/anschlussdosen/rj45.ea.de.html" TargetMode="External" Id="rId8" /><Relationship Type="http://schemas.openxmlformats.org/officeDocument/2006/relationships/hyperlink" Target="https://ibgoetz.sharepoint.com/:b:/s/IBG_Gewerbe/IQC30NCBU9A_TKQDbCNJgepgAZR8CeUhfyKy5Hk9NjtHBN0?e=96lFEy" TargetMode="External" Id="rId9" /><Relationship Type="http://schemas.openxmlformats.org/officeDocument/2006/relationships/hyperlink" Target="https://www.metz-connect.com/home/produkte/p-cabling/anschlussdosen/rj45.ea.de.html" TargetMode="External" Id="rId10" /><Relationship Type="http://schemas.openxmlformats.org/officeDocument/2006/relationships/hyperlink" Target="https://ibgoetz.sharepoint.com/:b:/s/IBG_Gewerbe/IQC30NCBU9A_TKQDbCNJgepgAZR8CeUhfyKy5Hk9NjtHBN0?e=96lFEy" TargetMode="External" Id="rId11" /><Relationship Type="http://schemas.openxmlformats.org/officeDocument/2006/relationships/hyperlink" Target="https://www.metz-connect.com/home/produkte/p-cabling/anschlussdosen/rj45.ea.de.html" TargetMode="External" Id="rId12" /><Relationship Type="http://schemas.openxmlformats.org/officeDocument/2006/relationships/hyperlink" Target="https://ibgoetz.sharepoint.com/:b:/s/IBG_Gewerbe/IQC30NCBU9A_TKQDbCNJgepgAZR8CeUhfyKy5Hk9NjtHBN0?e=96lFEy" TargetMode="External" Id="rId13" /><Relationship Type="http://schemas.openxmlformats.org/officeDocument/2006/relationships/hyperlink" Target="https://www.metz-connect.com/home/produkte/p-cabling/anschlussdosen/rj45.ea.de.html" TargetMode="External" Id="rId14" /><Relationship Type="http://schemas.openxmlformats.org/officeDocument/2006/relationships/hyperlink" Target="https://ibgoetz.sharepoint.com/:b:/s/IBG_Gewerbe/IQC30NCBU9A_TKQDbCNJgepgAZR8CeUhfyKy5Hk9NjtHBN0?e=96lFEy" TargetMode="External" Id="rId15" /><Relationship Type="http://schemas.openxmlformats.org/officeDocument/2006/relationships/hyperlink" Target="https://www.metz-connect.com/home/produkte/p-cabling/anschlussdosen/rj45.ea.de.html" TargetMode="External" Id="rId16" /><Relationship Type="http://schemas.openxmlformats.org/officeDocument/2006/relationships/hyperlink" Target="https://www.jung.de/de/online-katalog/2515061/" TargetMode="External" Id="rId17" /><Relationship Type="http://schemas.openxmlformats.org/officeDocument/2006/relationships/hyperlink" Target="../../../../../../../:b:/s/IBG_Gewerbe/IQA-aqeJ2vRKQI91lZgVitbGAavU4rj4EJLVJxKkA_I0pNI?e=qfSxb5" TargetMode="External" Id="rId18" /><Relationship Type="http://schemas.openxmlformats.org/officeDocument/2006/relationships/hyperlink" Target="https://www.jung.de/de/online-katalog/2515061/" TargetMode="External" Id="rId19" /><Relationship Type="http://schemas.openxmlformats.org/officeDocument/2006/relationships/hyperlink" Target="https://www.jung.de/de/online-katalog/2515073/" TargetMode="External" Id="rId20" /><Relationship Type="http://schemas.openxmlformats.org/officeDocument/2006/relationships/hyperlink" Target="https://www.metz-connect.com/home/produkte/p-cabling/anschlussdosen/lwl.eb.de.html" TargetMode="External" Id="rId21" /><Relationship Type="http://schemas.openxmlformats.org/officeDocument/2006/relationships/hyperlink" Target="https://www.obo.de/de-de/produkte/kabelrinne-rks-magic-60-ft-3050-100-60-1-ja-zink-stahl-tauchfeuerverzinkt-6047651.html" TargetMode="External" Id="rId22" /><Relationship Type="http://schemas.openxmlformats.org/officeDocument/2006/relationships/hyperlink" Target="https://www.obo.de/de-de/produkte/kabelrinne-rks-magic-60-ft-3050-300-60-1-ja-zink-stahl-tauchfeuerverzinkt-6047655.html" TargetMode="External" Id="rId23" /><Relationship Type="http://schemas.openxmlformats.org/officeDocument/2006/relationships/hyperlink" Target="https://www.obo.de/de-de/produkte/weitspannkabelrinne-wksg-163-ft-6000-300-160-2-ja-zink-stahl-tauchfeuerverzinkt-6098506.html" TargetMode="External" Id="rId24" /><Relationship Type="http://schemas.openxmlformats.org/officeDocument/2006/relationships/hyperlink" Target="https://www.obo.de/de-de/produkte/gitterrinne-gr-magic-55-ft-3000-200-55-3-9-ja-zink-stahl-tauchfeuerverzinkt-6001420.html" TargetMode="External" Id="rId25" /><Relationship Type="http://schemas.openxmlformats.org/officeDocument/2006/relationships/hyperlink" Target="https://www.obo.de/de-de/produkte/gitterrinne-gr-magic-55-ft-3000-200-55-3-9-ja-zink-stahl-tauchfeuerverzinkt-6001420.html" TargetMode="External" Id="rId26" /><Relationship Type="http://schemas.openxmlformats.org/officeDocument/2006/relationships/hyperlink" Target="https://www.obo.de/de-de/produkte/gitterrinne-gr-magic-55-ft-3000-300-55-3-9-ja-zink-stahl-tauchfeuerverzinkt-6001424.html" TargetMode="External" Id="rId27" /><Relationship Type="http://schemas.openxmlformats.org/officeDocument/2006/relationships/hyperlink" Target="https://www.elektro4000.de/Kabel-Leitungen/Kabel/Datenkabel/Metz-Connect-Datenkabel-Kat-7-blau-GC1000-8P-Eca-T500::1068271.html" TargetMode="External" Id="rId28" /><Relationship Type="http://schemas.openxmlformats.org/officeDocument/2006/relationships/hyperlink" Target="https://www.obo.de/de-de/produkte/kabelrinne-rks-magic-60-ft-3050-200-60-1-ja-zink-stahl-tauchfeuerverzinkt-6047653.html" TargetMode="External" Id="rId29" /><Relationship Type="http://schemas.openxmlformats.org/officeDocument/2006/relationships/hyperlink" Target="https://www.obo.de/de-de/produkte/kabelrinne-mks-55-ft-3000-100-1-nein-stahl-tauchfeuerverzinkt-6055410.html" TargetMode="External" Id="rId30" /><Relationship Type="http://schemas.openxmlformats.org/officeDocument/2006/relationships/hyperlink" Target="https://www.obo.de/de-de/produkte/kabelleiter-lg-60-3-m-vs-fs-3000-300-1-5-ja-stahl-bandverzinkt-6208541.html" TargetMode="External" Id="rId31" /><Relationship Type="http://schemas.openxmlformats.org/officeDocument/2006/relationships/hyperlink" Target="https://www.obo.de/de-de/produkte/gitterrinne-gr-35-ft-3000-300-35-3-9-nein-zink-stahl-tauchfeuerverzinkt-6005554.html" TargetMode="External" Id="rId32" /><Relationship Type="http://schemas.openxmlformats.org/officeDocument/2006/relationships/hyperlink" Target="https://www.obo.de/de-de/produkte/bogen-rb-90-610-ft-90-100-60-1-zink-stahl-tauchfeuerverzinkt-7007006.html" TargetMode="External" Id="rId33" /><Relationship Type="http://schemas.openxmlformats.org/officeDocument/2006/relationships/hyperlink" Target="https://www.obo.de/de-de/produkte/bogen-rb-90-620-ft-90-200-60-1-zink-stahl-tauchfeuerverzinkt-7007014.html" TargetMode="External" Id="rId34" /><Relationship Type="http://schemas.openxmlformats.org/officeDocument/2006/relationships/hyperlink" Target="https://www.obo.de/de-de/produkte/bogen-rb-90-630-ft-90-300-60-1-zink-stahl-tauchfeuerverzinkt-7007022.html" TargetMode="External" Id="rId35" /><Relationship Type="http://schemas.openxmlformats.org/officeDocument/2006/relationships/hyperlink" Target="https://www.obo.de/de-de/produkte/kabeltragsysteme/kabelrinnen-zubehoer/bogen" TargetMode="External" Id="rId36" /><Relationship Type="http://schemas.openxmlformats.org/officeDocument/2006/relationships/hyperlink" Target="https://www.obo.de/de-de/produkte/kabeltragsysteme/kabelrinnen-zubehoer/winkel" TargetMode="External" Id="rId37" /><Relationship Type="http://schemas.openxmlformats.org/officeDocument/2006/relationships/hyperlink" Target="https://www.obo.de/de-de/produkte/kabeltragsysteme/kabelleiter-zubehoer/bogen" TargetMode="External" Id="rId38" /><Relationship Type="http://schemas.openxmlformats.org/officeDocument/2006/relationships/hyperlink" Target="https://www.obo.de/de-de/produkte/kabeltragsysteme/kabelrinnen-zubehoer/winkel" TargetMode="External" Id="rId39" /><Relationship Type="http://schemas.openxmlformats.org/officeDocument/2006/relationships/hyperlink" Target="https://www.obo.de/de-de/produkte/kabeltragsysteme/gitterrinnen-zubehoer/bogen" TargetMode="External" Id="rId40" /><Relationship Type="http://schemas.openxmlformats.org/officeDocument/2006/relationships/hyperlink" Target="https://www.obo.de/de-de/produkte/kabeltragsysteme/gitterrinnen-zubehoer/bogen" TargetMode="External" Id="rId41" /><Relationship Type="http://schemas.openxmlformats.org/officeDocument/2006/relationships/hyperlink" Target="https://www.obo.de/de-de/produkte/bogen-rb-90-610-ft-90-100-60-1-zink-stahl-tauchfeuerverzinkt-7007006.html" TargetMode="External" Id="rId42" /><Relationship Type="http://schemas.openxmlformats.org/officeDocument/2006/relationships/hyperlink" Target="https://www.obo.de/de-de/produkte/kabeltragsysteme/kabelrinnen-zubehoer/anschluss" TargetMode="External" Id="rId43" /><Relationship Type="http://schemas.openxmlformats.org/officeDocument/2006/relationships/hyperlink" Target="https://www.obo.de/de-de/produkte/kabeltragsysteme/kabelrinnen-zubehoer/anschluss" TargetMode="External" Id="rId44" /><Relationship Type="http://schemas.openxmlformats.org/officeDocument/2006/relationships/hyperlink" Target="https://www.obo.de/de-de/produkte/kabeltragsysteme/kabelrinnen-zubehoer/anschluss" TargetMode="External" Id="rId45" /><Relationship Type="http://schemas.openxmlformats.org/officeDocument/2006/relationships/hyperlink" Target="https://www.obo.de/de-de/produkte/kabeltragsysteme/kabelrinnen-zubehoer/t-stueck" TargetMode="External" Id="rId46" /><Relationship Type="http://schemas.openxmlformats.org/officeDocument/2006/relationships/hyperlink" Target="https://www.obo.de/de-de/produkte/kabeltragsysteme/kabelrinnen-zubehoer/t-stueck" TargetMode="External" Id="rId47" /><Relationship Type="http://schemas.openxmlformats.org/officeDocument/2006/relationships/hyperlink" Target="https://www.obo.de/de-de/produkte/kabeltragsysteme/kabelrinnen-zubehoer/winkel" TargetMode="External" Id="rId48" /><Relationship Type="http://schemas.openxmlformats.org/officeDocument/2006/relationships/hyperlink" Target="https://www.obo.de/de-de/produkte/kabeltragsysteme/kabelrinnen-zubehoer/winkel" TargetMode="External" Id="rId49" /><Relationship Type="http://schemas.openxmlformats.org/officeDocument/2006/relationships/hyperlink" Target="https://www.obo.de/de-de/produkte/wand-und-stielausleger-aw-15-ft-110-1-5-zink-6420656.html" TargetMode="External" Id="rId50" /><Relationship Type="http://schemas.openxmlformats.org/officeDocument/2006/relationships/hyperlink" Target="https://www.obo.de/de-de/produkte/kabeltragsysteme/tragkonstruktionen" TargetMode="External" Id="rId51" /><Relationship Type="http://schemas.openxmlformats.org/officeDocument/2006/relationships/hyperlink" Target="https://www.obo.de/de-de/produkte/kabeltragsysteme/tragkonstruktionen" TargetMode="External" Id="rId52" /><Relationship Type="http://schemas.openxmlformats.org/officeDocument/2006/relationships/hyperlink" Target="https://www.obo.de/de-de/produkte/kabeltragsysteme/tragkonstruktionen" TargetMode="External" Id="rId53" /><Relationship Type="http://schemas.openxmlformats.org/officeDocument/2006/relationships/hyperlink" Target="https://www.obo.de/de-de/produkte/kabeltragsysteme/tragkonstruktionen" TargetMode="External" Id="rId54" /><Relationship Type="http://schemas.openxmlformats.org/officeDocument/2006/relationships/hyperlink" Target="https://www.obo.de/de-de/produkte/installation-und-gebaeudesysteme/bruestungskanalsysteme" TargetMode="External" Id="rId55" /><Relationship Type="http://schemas.openxmlformats.org/officeDocument/2006/relationships/hyperlink" Target="https://www.obo.de/de-de/produkte/sammelhalter-2-stueck-m-pfsh-80-170" TargetMode="External" Id="rId56" /><Relationship Type="http://schemas.openxmlformats.org/officeDocument/2006/relationships/hyperlink" Target="https://www.obo.de/de-de/produkte/geraeteeinbaukanal-rapid-80-kanalbreite-110-kanalhoehe-70-2000-reinweiss-ral-9010-6274300.html" TargetMode="External" Id="rId57" /><Relationship Type="http://schemas.openxmlformats.org/officeDocument/2006/relationships/hyperlink" Target="https://www.obo.de/de-de/produkte/bodensteckdose-udhome2-vt2-7427097.html" TargetMode="External" Id="rId58" /><Relationship Type="http://schemas.openxmlformats.org/officeDocument/2006/relationships/hyperlink" Target="https://www.metz-connect.com/home/produkte/p-cabling/kabel-und-leitungen/installationskabel-kupfer.e5.de.html" TargetMode="External" Id="rId59" /><Relationship Type="http://schemas.openxmlformats.org/officeDocument/2006/relationships/hyperlink" Target="https://www.metz-connect.com/home/produkte/p-cabling/kabel-und-leitungen.e1.de.html" TargetMode="External" Id="rId60" /><Relationship Type="http://schemas.openxmlformats.org/officeDocument/2006/relationships/hyperlink" Target="https://www.rittal.com/de-de/products/PG0001SCHRANKSYSTEME1/PG0758VX_ITSCHRANKSYSTEME" TargetMode="Externa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AA66"/>
  <sheetViews>
    <sheetView tabSelected="1" topLeftCell="AWB15" zoomScale="220" zoomScaleNormal="220" workbookViewId="0">
      <selection activeCell="O5" sqref="O5"/>
    </sheetView>
  </sheetViews>
  <sheetFormatPr baseColWidth="10" defaultColWidth="9.140625" defaultRowHeight="15"/>
  <cols>
    <col width="60" customWidth="1" min="3" max="3"/>
    <col width="10" customWidth="1" min="5" max="5"/>
    <col width="7" customWidth="1" min="6" max="6"/>
    <col width="11" customWidth="1" min="7" max="7"/>
    <col width="13" customWidth="1" min="15" max="15"/>
    <col width="35" customWidth="1" min="16" max="16"/>
    <col width="50" customWidth="1" min="17" max="17"/>
  </cols>
  <sheetData>
    <row r="4">
      <c r="C4" s="12" t="inlineStr">
        <is>
          <t>Beschreibung</t>
        </is>
      </c>
      <c r="E4" s="12" t="inlineStr">
        <is>
          <t>Menge</t>
        </is>
      </c>
      <c r="F4" s="12" t="inlineStr">
        <is>
          <t>Einheit</t>
        </is>
      </c>
      <c r="G4" s="12" t="inlineStr">
        <is>
          <t>EP [€]</t>
        </is>
      </c>
      <c r="O4" s="12" t="inlineStr">
        <is>
          <t>GP [€]</t>
        </is>
      </c>
      <c r="Q4" s="12" t="inlineStr">
        <is>
          <t>Produkt-Link</t>
        </is>
      </c>
    </row>
    <row r="5" ht="210" customHeight="1">
      <c r="C5" s="1" t="inlineStr">
        <is>
          <t xml:space="preserve">UP, Daten-Anschlussdose, Cat.6, 2x RJ45, WLAN Öffentlich 
</t>
        </is>
      </c>
      <c r="D5" s="2" t="n"/>
      <c r="E5" s="20" t="n">
        <v>102</v>
      </c>
      <c r="F5" t="inlineStr">
        <is>
          <t>Stk</t>
        </is>
      </c>
      <c r="G5" s="13" t="n">
        <v>37.31</v>
      </c>
      <c r="H5" s="2" t="n"/>
      <c r="I5" s="2" t="n"/>
      <c r="J5" s="2" t="n"/>
      <c r="K5" s="2" t="n"/>
      <c r="L5" s="2" t="n"/>
      <c r="M5" s="2" t="n"/>
      <c r="N5" s="2" t="n"/>
      <c r="O5" s="13">
        <f>E5*G5</f>
        <v/>
      </c>
      <c r="P5" s="5" t="inlineStr">
        <is>
          <t>https://ibgoetz.sharepoint.com/:b:/s/IBG_Gewerbe/IQC30NCBU9A_TKQDbCNJgepgAZR8CeUhfyKy5Hk9NjtHBN0?e=96lFEy</t>
        </is>
      </c>
      <c r="Q5" s="2" t="inlineStr">
        <is>
          <t>https://www.metz-connect.com/home/produkte/p-cabling/anschlussdosen/rj45.ea.de.html</t>
        </is>
      </c>
      <c r="R5" s="2" t="n"/>
      <c r="S5" s="2" t="n"/>
      <c r="T5" s="2" t="n"/>
      <c r="U5" s="2" t="n"/>
      <c r="V5" s="2" t="n"/>
      <c r="W5" s="2" t="n"/>
      <c r="Y5" s="14" t="inlineStr">
        <is>
          <t>datendosen abzahl gesamt:</t>
        </is>
      </c>
      <c r="Z5" s="14" t="n"/>
      <c r="AA5" t="n">
        <v>982</v>
      </c>
    </row>
    <row r="6" ht="210" customHeight="1">
      <c r="C6" s="1" t="inlineStr">
        <is>
          <t xml:space="preserve">UP, Daten-Anschlussdose, Cat.6, 2x RJ45, Drucker 
</t>
        </is>
      </c>
      <c r="D6" s="2" t="n"/>
      <c r="E6" s="20" t="n">
        <v>2</v>
      </c>
      <c r="F6" t="inlineStr">
        <is>
          <t>Stk</t>
        </is>
      </c>
      <c r="G6" s="13" t="n">
        <v>37.31</v>
      </c>
      <c r="H6" s="2" t="n"/>
      <c r="I6" s="2" t="n"/>
      <c r="J6" s="2" t="n"/>
      <c r="K6" s="2" t="n"/>
      <c r="L6" s="2" t="n"/>
      <c r="M6" s="2" t="n"/>
      <c r="N6" s="2" t="n"/>
      <c r="O6" s="13">
        <f>E6*G6</f>
        <v/>
      </c>
      <c r="P6" s="5" t="inlineStr">
        <is>
          <t>https://ibgoetz.sharepoint.com/:b:/s/IBG_Gewerbe/IQC30NCBU9A_TKQDbCNJgepgAZR8CeUhfyKy5Hk9NjtHBN0?e=96lFEy</t>
        </is>
      </c>
      <c r="Q6" s="2" t="inlineStr">
        <is>
          <t>https://www.metz-connect.com/home/produkte/p-cabling/anschlussdosen/rj45.ea.de.html</t>
        </is>
      </c>
      <c r="R6" s="2" t="n"/>
      <c r="S6" s="2" t="n"/>
      <c r="T6" s="2" t="n"/>
      <c r="U6" s="2" t="n"/>
      <c r="V6" s="2" t="n"/>
      <c r="W6" s="2" t="n"/>
      <c r="Y6" s="14" t="n"/>
      <c r="Z6" s="14" t="n"/>
    </row>
    <row r="7" ht="210" customHeight="1">
      <c r="C7" s="1" t="inlineStr">
        <is>
          <t xml:space="preserve">UP, Daten-Anschlussdose, Cat.6, 2x RJ45, Technik 
</t>
        </is>
      </c>
      <c r="D7" s="2" t="n"/>
      <c r="E7" s="20" t="n">
        <v>14</v>
      </c>
      <c r="F7" t="inlineStr">
        <is>
          <t>Stk</t>
        </is>
      </c>
      <c r="G7" s="13" t="n">
        <v>37.31</v>
      </c>
      <c r="H7" s="2" t="n"/>
      <c r="I7" s="2" t="n"/>
      <c r="J7" s="2" t="n"/>
      <c r="K7" s="2" t="n"/>
      <c r="L7" s="2" t="n"/>
      <c r="M7" s="2" t="n"/>
      <c r="N7" s="2" t="n"/>
      <c r="O7" s="13">
        <f>E7*G7</f>
        <v/>
      </c>
      <c r="P7" s="5" t="inlineStr">
        <is>
          <t>https://ibgoetz.sharepoint.com/:b:/s/IBG_Gewerbe/IQC30NCBU9A_TKQDbCNJgepgAZR8CeUhfyKy5Hk9NjtHBN0?e=96lFEy</t>
        </is>
      </c>
      <c r="Q7" s="2" t="inlineStr">
        <is>
          <t>https://www.metz-connect.com/home/produkte/p-cabling/anschlussdosen/rj45.ea.de.html</t>
        </is>
      </c>
      <c r="R7" s="2" t="n"/>
      <c r="S7" s="2" t="n"/>
      <c r="T7" s="2" t="n"/>
      <c r="U7" s="2" t="n"/>
      <c r="V7" s="2" t="n"/>
      <c r="W7" s="2" t="n"/>
      <c r="Y7" s="14" t="n"/>
      <c r="Z7" s="14" t="n"/>
    </row>
    <row r="8" ht="210" customHeight="1">
      <c r="C8" s="1" t="inlineStr">
        <is>
          <t xml:space="preserve">AP, Daten-Anschlussdose, Cat.6, 2x RJ45, MÜK 
</t>
        </is>
      </c>
      <c r="D8" s="2" t="n"/>
      <c r="E8" s="20" t="n">
        <v>57</v>
      </c>
      <c r="F8" t="inlineStr">
        <is>
          <t>Stk</t>
        </is>
      </c>
      <c r="G8" s="13" t="n">
        <v>37.31</v>
      </c>
      <c r="H8" s="2" t="n"/>
      <c r="I8" s="2" t="n"/>
      <c r="J8" s="2" t="n"/>
      <c r="K8" s="2" t="n"/>
      <c r="L8" s="2" t="n"/>
      <c r="M8" s="2" t="n"/>
      <c r="N8" s="2" t="n"/>
      <c r="O8" s="13">
        <f>E8*G8</f>
        <v/>
      </c>
      <c r="P8" s="5" t="inlineStr">
        <is>
          <t>https://ibgoetz.sharepoint.com/:b:/s/IBG_Gewerbe/IQC30NCBU9A_TKQDbCNJgepgAZR8CeUhfyKy5Hk9NjtHBN0?e=96lFEy</t>
        </is>
      </c>
      <c r="Q8" s="2" t="inlineStr">
        <is>
          <t>https://www.metz-connect.com/home/produkte/p-cabling/anschlussdosen/rj45.ea.de.html</t>
        </is>
      </c>
      <c r="R8" s="2" t="n"/>
      <c r="S8" s="2" t="n"/>
      <c r="T8" s="2" t="n"/>
      <c r="U8" s="2" t="n"/>
      <c r="V8" s="2" t="n"/>
      <c r="W8" s="2" t="n"/>
      <c r="Y8" s="14" t="n"/>
    </row>
    <row r="9" ht="210" customHeight="1">
      <c r="C9" s="6" t="inlineStr">
        <is>
          <t>Daten-Anschlussdose Cat.6 2x RJ45</t>
        </is>
      </c>
      <c r="E9" s="11" t="n">
        <v>114</v>
      </c>
      <c r="F9" t="inlineStr">
        <is>
          <t>Stk</t>
        </is>
      </c>
      <c r="G9" s="13" t="n">
        <v>37.31</v>
      </c>
      <c r="O9" s="13">
        <f>E9*G9</f>
        <v/>
      </c>
      <c r="P9" s="5" t="inlineStr">
        <is>
          <t>https://ibgoetz.sharepoint.com/:b:/s/IBG_Gewerbe/IQC30NCBU9A_TKQDbCNJgepgAZR8CeUhfyKy5Hk9NjtHBN0?e=96lFEy</t>
        </is>
      </c>
      <c r="Q9" t="inlineStr">
        <is>
          <t>https://www.metz-connect.com/home/produkte/p-cabling/anschlussdosen/rj45.ea.de.html</t>
        </is>
      </c>
    </row>
    <row r="10" ht="210" customHeight="1">
      <c r="C10" s="6" t="inlineStr">
        <is>
          <t xml:space="preserve">UP, Daten-Anschlussdose, Cat.6, 2x RJ45, Kasse </t>
        </is>
      </c>
      <c r="E10" s="20" t="n">
        <v>5</v>
      </c>
      <c r="F10" t="inlineStr">
        <is>
          <t>Stk</t>
        </is>
      </c>
      <c r="G10" s="13" t="n">
        <v>37.31</v>
      </c>
      <c r="O10" s="13">
        <f>E10*G10</f>
        <v/>
      </c>
      <c r="P10" s="5" t="inlineStr">
        <is>
          <t>https://ibgoetz.sharepoint.com/:b:/s/IBG_Gewerbe/IQC30NCBU9A_TKQDbCNJgepgAZR8CeUhfyKy5Hk9NjtHBN0?e=96lFEy</t>
        </is>
      </c>
      <c r="Q10" t="inlineStr">
        <is>
          <t>https://www.metz-connect.com/home/produkte/p-cabling/anschlussdosen/rj45.ea.de.html</t>
        </is>
      </c>
    </row>
    <row r="11" ht="210" customHeight="1">
      <c r="C11" s="6" t="inlineStr">
        <is>
          <t xml:space="preserve">UP, Daten-Anschlussdose, Cat.6, 2x RJ45, WLAN Mieter </t>
        </is>
      </c>
      <c r="E11" s="20" t="n">
        <v>31</v>
      </c>
      <c r="F11" t="inlineStr">
        <is>
          <t>Stk</t>
        </is>
      </c>
      <c r="G11" s="13" t="n">
        <v>37.31</v>
      </c>
      <c r="O11" s="13">
        <f>E11*G11</f>
        <v/>
      </c>
      <c r="P11" s="5" t="inlineStr">
        <is>
          <t>https://ibgoetz.sharepoint.com/:b:/s/IBG_Gewerbe/IQC30NCBU9A_TKQDbCNJgepgAZR8CeUhfyKy5Hk9NjtHBN0?e=96lFEy</t>
        </is>
      </c>
      <c r="Q11" t="inlineStr">
        <is>
          <t>https://www.metz-connect.com/home/produkte/p-cabling/anschlussdosen/rj45.ea.de.html</t>
        </is>
      </c>
    </row>
    <row r="12" ht="210" customHeight="1">
      <c r="C12" s="6" t="inlineStr">
        <is>
          <t xml:space="preserve">UP, Daten-Anschlussdose, Cat.6, 2x RJ45, Arbeitsplätze </t>
        </is>
      </c>
      <c r="E12" s="20" t="n">
        <v>657</v>
      </c>
      <c r="F12" t="inlineStr">
        <is>
          <t>Stk</t>
        </is>
      </c>
      <c r="G12" s="13" t="n">
        <v>37.31</v>
      </c>
      <c r="O12" s="13">
        <f>E12*G12</f>
        <v/>
      </c>
      <c r="P12" s="5" t="inlineStr">
        <is>
          <t>https://ibgoetz.sharepoint.com/:b:/s/IBG_Gewerbe/IQC30NCBU9A_TKQDbCNJgepgAZR8CeUhfyKy5Hk9NjtHBN0?e=96lFEy</t>
        </is>
      </c>
      <c r="Q12" t="inlineStr">
        <is>
          <t>https://www.metz-connect.com/home/produkte/p-cabling/anschlussdosen/rj45.ea.de.html</t>
        </is>
      </c>
    </row>
    <row r="13" ht="45" customHeight="1">
      <c r="C13" s="6" t="inlineStr">
        <is>
          <t>Aufputz-Kappe 1fach</t>
        </is>
      </c>
      <c r="E13" s="11" t="n">
        <v>57</v>
      </c>
      <c r="F13" t="inlineStr">
        <is>
          <t>Stk</t>
        </is>
      </c>
      <c r="G13" s="13" t="n">
        <v>23.51</v>
      </c>
      <c r="O13" s="13">
        <f>E13*G13</f>
        <v/>
      </c>
      <c r="P13" s="5" t="n"/>
      <c r="Q13" t="inlineStr">
        <is>
          <t>https://www.jung.de/de/online-katalog/2515061/</t>
        </is>
      </c>
    </row>
    <row r="14" ht="225" customHeight="1">
      <c r="C14" s="6" t="inlineStr">
        <is>
          <t>Abdeckung für IAE/UAE-Anschlussdosen, 2 x 8-polig, mit Schriftfeld, Thermoplast, Serie LS, alpinweiß</t>
        </is>
      </c>
      <c r="E14" s="20" t="n">
        <v>982</v>
      </c>
      <c r="F14" t="inlineStr">
        <is>
          <t>Stk</t>
        </is>
      </c>
      <c r="G14" s="13" t="n">
        <v>13.09</v>
      </c>
      <c r="O14" s="13">
        <f>E14*G14</f>
        <v/>
      </c>
      <c r="P14" s="7" t="inlineStr">
        <is>
          <t>https://ibgoetz.sharepoint.com/:b:/s/IBG_Gewerbe/IQA-aqeJ2vRKQI91lZgVitbGAavU4rj4EJLVJxKkA_I0pNI?e=qfSxb5</t>
        </is>
      </c>
      <c r="Q14" t="inlineStr">
        <is>
          <t>https://www.jung.de/de/online-katalog/2515061/</t>
        </is>
      </c>
    </row>
    <row r="15" ht="195" customHeight="1">
      <c r="C15" s="6" t="inlineStr">
        <is>
          <t>Rahmen 1fach, LS 990, IP 44, Duroplast, alpinweiß, senkrechte und waagerechte Montage</t>
        </is>
      </c>
      <c r="E15" s="20" t="n">
        <v>982</v>
      </c>
      <c r="F15" t="inlineStr">
        <is>
          <t>Stk</t>
        </is>
      </c>
      <c r="G15" s="13" t="n">
        <v>6.26</v>
      </c>
      <c r="O15" s="13">
        <f>E15*G15</f>
        <v/>
      </c>
      <c r="P15" s="8" t="n"/>
      <c r="Q15" t="inlineStr">
        <is>
          <t>https://www.jung.de/de/online-katalog/2515073/</t>
        </is>
      </c>
      <c r="Y15" t="inlineStr">
        <is>
          <t>Gesamt dosen</t>
        </is>
      </c>
      <c r="Z15" s="14">
        <f>O5+O6+O7+O8+O9+O10+O11+O12+O13+O14+O15</f>
        <v/>
      </c>
    </row>
    <row r="16">
      <c r="C16" s="6" t="inlineStr">
        <is>
          <t>Daten-Anschlussdose LWL Duplex-SC, UP</t>
        </is>
      </c>
      <c r="E16" s="11" t="n">
        <v>1</v>
      </c>
      <c r="F16" t="inlineStr">
        <is>
          <t>Stk</t>
        </is>
      </c>
      <c r="G16" s="13" t="n">
        <v>89.5</v>
      </c>
      <c r="O16" s="13">
        <f>E16*G16</f>
        <v/>
      </c>
      <c r="P16" s="8" t="n"/>
      <c r="Q16" t="inlineStr">
        <is>
          <t>https://www.metz-connect.com/home/produkte/p-cabling/anschlussdosen/lwl.eb.de.html</t>
        </is>
      </c>
    </row>
    <row r="17">
      <c r="C17" s="6" t="n"/>
      <c r="E17" s="11" t="n"/>
      <c r="G17" s="13" t="n"/>
      <c r="O17" s="13" t="n"/>
      <c r="P17" s="8" t="n"/>
    </row>
    <row r="18">
      <c r="C18" s="6" t="n"/>
      <c r="E18" s="11" t="n"/>
      <c r="G18" s="13" t="n"/>
      <c r="O18" s="13" t="n"/>
      <c r="P18" s="8" t="n"/>
    </row>
    <row r="19" ht="76.5" customHeight="1">
      <c r="C19" s="2" t="inlineStr">
        <is>
          <t xml:space="preserve">Kabelrinne, Höhe 60 mm, Breite 100 mm 
</t>
        </is>
      </c>
      <c r="D19" s="2" t="n"/>
      <c r="E19" s="21" t="n">
        <v>229.94</v>
      </c>
      <c r="F19" s="2" t="inlineStr">
        <is>
          <t>m</t>
        </is>
      </c>
      <c r="G19" s="15" t="n">
        <v>51.2</v>
      </c>
      <c r="H19" s="2" t="n"/>
      <c r="I19" s="2" t="n"/>
      <c r="J19" s="2" t="n"/>
      <c r="K19" s="2" t="n"/>
      <c r="L19" s="2" t="n"/>
      <c r="M19" s="2" t="n"/>
      <c r="N19" s="2" t="n"/>
      <c r="O19" s="13">
        <f>E19*G19</f>
        <v/>
      </c>
      <c r="P19" s="8" t="n"/>
      <c r="Q19" s="10" t="inlineStr">
        <is>
          <t>https://www.obo.de/de-de/produkte/kabelrinne-rks-magic-60-ft-3050-100-60-1-ja-zink-stahl-tauchfeuerverzinkt-6047651.html</t>
        </is>
      </c>
    </row>
    <row r="20" ht="76.5" customHeight="1">
      <c r="C20" s="2" t="inlineStr">
        <is>
          <t xml:space="preserve">Kabelrinne, Höhe 60 mm, Breite 300 mm </t>
        </is>
      </c>
      <c r="D20" s="2" t="n"/>
      <c r="E20" s="21" t="n">
        <v>348.89</v>
      </c>
      <c r="F20" s="2" t="inlineStr">
        <is>
          <t>m</t>
        </is>
      </c>
      <c r="G20" s="15" t="n">
        <v>83.75</v>
      </c>
      <c r="H20" s="2" t="n"/>
      <c r="I20" s="2" t="n"/>
      <c r="J20" s="2" t="n"/>
      <c r="K20" s="2" t="n"/>
      <c r="L20" s="2" t="n"/>
      <c r="M20" s="2" t="n"/>
      <c r="N20" s="2" t="n"/>
      <c r="O20" s="13">
        <f>E20*G20</f>
        <v/>
      </c>
      <c r="P20" s="8" t="n"/>
      <c r="Q20" s="10" t="inlineStr">
        <is>
          <t>https://www.obo.de/de-de/produkte/kabelrinne-rks-magic-60-ft-3050-300-60-1-ja-zink-stahl-tauchfeuerverzinkt-6047655.html</t>
        </is>
      </c>
    </row>
    <row r="21" ht="120" customHeight="1">
      <c r="C21" s="6" t="inlineStr">
        <is>
          <t xml:space="preserve">Weitspann-Kabelrinne, Höhe 60 mm, Breite 300 mm </t>
        </is>
      </c>
      <c r="E21" s="11" t="n">
        <v>77.75</v>
      </c>
      <c r="F21" s="2" t="inlineStr">
        <is>
          <t>m</t>
        </is>
      </c>
      <c r="G21" s="15" t="n">
        <v>83.75</v>
      </c>
      <c r="O21" s="13">
        <f>E21*G21</f>
        <v/>
      </c>
      <c r="P21" s="8" t="n"/>
      <c r="Q21" t="inlineStr">
        <is>
          <t>https://www.obo.de/de-de/produkte/weitspannkabelrinne-wksg-163-ft-6000-300-160-2-ja-zink-stahl-tauchfeuerverzinkt-6098506.html</t>
        </is>
      </c>
    </row>
    <row r="22" ht="105" customHeight="1">
      <c r="C22" s="6" t="inlineStr">
        <is>
          <t>Gitterrinne, IBG, Decke, Höhe 55 mm, Breite 200 mm</t>
        </is>
      </c>
      <c r="E22" s="11" t="n">
        <v>302.86</v>
      </c>
      <c r="F22" s="2" t="inlineStr">
        <is>
          <t>m</t>
        </is>
      </c>
      <c r="G22" s="13" t="n">
        <v>28.8</v>
      </c>
      <c r="O22" s="13">
        <f>E22*G22</f>
        <v/>
      </c>
      <c r="P22" s="8" t="n"/>
      <c r="Q22" t="inlineStr">
        <is>
          <t>https://www.obo.de/de-de/produkte/gitterrinne-gr-magic-55-ft-3000-200-55-3-9-ja-zink-stahl-tauchfeuerverzinkt-6001420.html</t>
        </is>
      </c>
    </row>
    <row r="23" ht="105" customHeight="1">
      <c r="C23" s="6" t="inlineStr">
        <is>
          <t xml:space="preserve">Gitterrinne, IBG, Boden, Höhe 55 mm, Breite 200 mm </t>
        </is>
      </c>
      <c r="E23" s="11" t="n">
        <v>568.8099999999999</v>
      </c>
      <c r="F23" s="2" t="inlineStr">
        <is>
          <t>m</t>
        </is>
      </c>
      <c r="G23" s="13" t="n">
        <v>28.8</v>
      </c>
      <c r="O23" s="13">
        <f>E23*G23</f>
        <v/>
      </c>
      <c r="P23" s="8" t="n"/>
      <c r="Q23" t="inlineStr">
        <is>
          <t>https://www.obo.de/de-de/produkte/gitterrinne-gr-magic-55-ft-3000-200-55-3-9-ja-zink-stahl-tauchfeuerverzinkt-6001420.html</t>
        </is>
      </c>
    </row>
    <row r="24" ht="105" customHeight="1">
      <c r="C24" s="6" t="inlineStr">
        <is>
          <t xml:space="preserve">Gitterrinne, IBG, Boden, Höhe 55 mm, Breite 300 mm </t>
        </is>
      </c>
      <c r="E24" s="11" t="n">
        <v>23.33</v>
      </c>
      <c r="F24" t="inlineStr">
        <is>
          <t>m</t>
        </is>
      </c>
      <c r="G24" s="13" t="n">
        <v>33.6</v>
      </c>
      <c r="O24" s="13">
        <f>E24*G24</f>
        <v/>
      </c>
      <c r="P24" s="8" t="n"/>
      <c r="Q24" t="inlineStr">
        <is>
          <t>https://www.obo.de/de-de/produkte/gitterrinne-gr-magic-55-ft-3000-300-55-3-9-ja-zink-stahl-tauchfeuerverzinkt-6001424.html</t>
        </is>
      </c>
    </row>
    <row r="25">
      <c r="C25" s="6" t="n"/>
      <c r="E25" s="11" t="n"/>
      <c r="G25" s="13" t="n"/>
      <c r="O25" s="13" t="n"/>
      <c r="P25" s="8" t="n"/>
    </row>
    <row r="26">
      <c r="C26" s="6" t="n"/>
      <c r="E26" s="11" t="n"/>
      <c r="G26" s="13" t="n"/>
      <c r="O26" s="13" t="n"/>
      <c r="P26" s="8" t="n"/>
    </row>
    <row r="27">
      <c r="C27" s="6" t="n"/>
      <c r="E27" s="11" t="n"/>
      <c r="G27" s="13" t="n"/>
      <c r="O27" s="13" t="n"/>
      <c r="P27" s="8" t="n"/>
    </row>
    <row r="28" ht="90" customHeight="1">
      <c r="C28" s="6" t="inlineStr">
        <is>
          <t xml:space="preserve">Datenkabel Kat-7 duplex, 2x4x2xAWG23 </t>
        </is>
      </c>
      <c r="E28" s="11" t="n">
        <v>19796.19</v>
      </c>
      <c r="F28" t="inlineStr">
        <is>
          <t>m</t>
        </is>
      </c>
      <c r="G28" s="13" t="n">
        <v>1.4</v>
      </c>
      <c r="O28" s="13">
        <f>E28*G28</f>
        <v/>
      </c>
      <c r="P28" s="8" t="n"/>
      <c r="Q28" t="inlineStr">
        <is>
          <t>https://www.elektro4000.de/Kabel-Leitungen/Kabel/Datenkabel/Metz-Connect-Datenkabel-Kat-7-blau-GC1000-8P-Eca-T500::1068271.html</t>
        </is>
      </c>
    </row>
    <row r="29">
      <c r="C29" s="16" t="inlineStr">
        <is>
          <t>Kabelrinne, Höhe 60 mm, Breite 200 mm</t>
        </is>
      </c>
      <c r="E29" s="11" t="n">
        <v>17.06</v>
      </c>
      <c r="F29" t="inlineStr">
        <is>
          <t>m</t>
        </is>
      </c>
      <c r="G29" s="13" t="n">
        <v>62.4</v>
      </c>
      <c r="O29" s="13">
        <f>E29*G29</f>
        <v/>
      </c>
      <c r="Q29" t="inlineStr">
        <is>
          <t>https://www.obo.de/de-de/produkte/kabelrinne-rks-magic-60-ft-3050-200-60-1-ja-zink-stahl-tauchfeuerverzinkt-6047653.html</t>
        </is>
      </c>
    </row>
    <row r="30">
      <c r="C30" s="16" t="inlineStr">
        <is>
          <t>Kabelrinne, Höhe 55 mm, Breite 100 mm</t>
        </is>
      </c>
      <c r="E30" s="11" t="n">
        <v>394.02</v>
      </c>
      <c r="F30" t="inlineStr">
        <is>
          <t>m</t>
        </is>
      </c>
      <c r="G30" s="13" t="n">
        <v>42.3</v>
      </c>
      <c r="O30" s="13">
        <f>E30*G30</f>
        <v/>
      </c>
      <c r="Q30" t="inlineStr">
        <is>
          <t>https://www.obo.de/de-de/produkte/kabelrinne-mks-55-ft-3000-100-1-nein-stahl-tauchfeuerverzinkt-6055410.html</t>
        </is>
      </c>
    </row>
    <row r="31">
      <c r="C31" s="16" t="inlineStr">
        <is>
          <t>Kabelleiter, Höhe 45 mm, Breite 300 mm</t>
        </is>
      </c>
      <c r="E31" s="11" t="n">
        <v>523.72</v>
      </c>
      <c r="F31" t="inlineStr">
        <is>
          <t>m</t>
        </is>
      </c>
      <c r="G31" s="13" t="n">
        <v>71.8</v>
      </c>
      <c r="O31" s="13">
        <f>E31*G31</f>
        <v/>
      </c>
      <c r="Q31" t="inlineStr">
        <is>
          <t>https://www.obo.de/de-de/produkte/kabelleiter-lg-60-3-m-vs-fs-3000-300-1-5-ja-stahl-bandverzinkt-6208541.html</t>
        </is>
      </c>
    </row>
    <row r="32">
      <c r="C32" s="16" t="inlineStr">
        <is>
          <t>Gitterrinne, Höhe 35 mm, Breite 300 mm</t>
        </is>
      </c>
      <c r="E32" s="11" t="n">
        <v>16.22</v>
      </c>
      <c r="F32" t="inlineStr">
        <is>
          <t>m</t>
        </is>
      </c>
      <c r="G32" s="13" t="n">
        <v>31.5</v>
      </c>
      <c r="O32" s="13">
        <f>E32*G32</f>
        <v/>
      </c>
      <c r="Q32" t="inlineStr">
        <is>
          <t>https://www.obo.de/de-de/produkte/gitterrinne-gr-35-ft-3000-300-35-3-9-nein-zink-stahl-tauchfeuerverzinkt-6005554.html</t>
        </is>
      </c>
    </row>
    <row r="33">
      <c r="C33" s="16" t="inlineStr">
        <is>
          <t>Bogen für Kabelrinne, Höhe 60 mm, Breite 100 mm</t>
        </is>
      </c>
      <c r="E33" s="11" t="n">
        <v>21</v>
      </c>
      <c r="F33" t="inlineStr">
        <is>
          <t>Stk</t>
        </is>
      </c>
      <c r="G33" s="13" t="n">
        <v>32.5</v>
      </c>
      <c r="O33" s="13">
        <f>E33*G33</f>
        <v/>
      </c>
      <c r="Q33" t="inlineStr">
        <is>
          <t>https://www.obo.de/de-de/produkte/bogen-rb-90-610-ft-90-100-60-1-zink-stahl-tauchfeuerverzinkt-7007006.html</t>
        </is>
      </c>
    </row>
    <row r="34">
      <c r="C34" s="16" t="inlineStr">
        <is>
          <t>Bogen für Kabelrinne, Höhe 60 mm, Breite 200 mm</t>
        </is>
      </c>
      <c r="E34" s="11" t="n">
        <v>5</v>
      </c>
      <c r="F34" t="inlineStr">
        <is>
          <t>Stk</t>
        </is>
      </c>
      <c r="G34" s="13" t="n">
        <v>47.8</v>
      </c>
      <c r="O34" s="13">
        <f>E34*G34</f>
        <v/>
      </c>
      <c r="Q34" t="inlineStr">
        <is>
          <t>https://www.obo.de/de-de/produkte/bogen-rb-90-620-ft-90-200-60-1-zink-stahl-tauchfeuerverzinkt-7007014.html</t>
        </is>
      </c>
    </row>
    <row r="35">
      <c r="C35" s="16" t="inlineStr">
        <is>
          <t>Bogen für Kabelrinne, Höhe 60 mm, Breite 300 mm</t>
        </is>
      </c>
      <c r="E35" s="11" t="n">
        <v>34</v>
      </c>
      <c r="F35" t="inlineStr">
        <is>
          <t>Stk</t>
        </is>
      </c>
      <c r="G35" s="13" t="n">
        <v>64.90000000000001</v>
      </c>
      <c r="O35" s="13">
        <f>E35*G35</f>
        <v/>
      </c>
      <c r="Q35" t="inlineStr">
        <is>
          <t>https://www.obo.de/de-de/produkte/bogen-rb-90-630-ft-90-300-60-1-zink-stahl-tauchfeuerverzinkt-7007022.html</t>
        </is>
      </c>
    </row>
    <row r="36">
      <c r="C36" s="16" t="inlineStr">
        <is>
          <t>Bogen für Weitspann-Kabelrinne, Höhe 160 mm, Breite 300 mm</t>
        </is>
      </c>
      <c r="E36" s="11" t="n">
        <v>4</v>
      </c>
      <c r="F36" t="inlineStr">
        <is>
          <t>Stk</t>
        </is>
      </c>
      <c r="G36" s="13" t="n">
        <v>245</v>
      </c>
      <c r="O36" s="13">
        <f>E36*G36</f>
        <v/>
      </c>
      <c r="Q36" t="inlineStr">
        <is>
          <t>https://www.obo.de/de-de/produkte/kabeltragsysteme/kabelrinnen-zubehoer/bogen</t>
        </is>
      </c>
    </row>
    <row r="37">
      <c r="C37" s="16" t="inlineStr">
        <is>
          <t>Winkel für Kabelrinne, Höhe 60 mm, Breite 100 mm</t>
        </is>
      </c>
      <c r="E37" s="11" t="n">
        <v>1</v>
      </c>
      <c r="F37" t="inlineStr">
        <is>
          <t>Stk</t>
        </is>
      </c>
      <c r="G37" s="13" t="n">
        <v>34.2</v>
      </c>
      <c r="O37" s="13">
        <f>E37*G37</f>
        <v/>
      </c>
      <c r="Q37" t="inlineStr">
        <is>
          <t>https://www.obo.de/de-de/produkte/kabeltragsysteme/kabelrinnen-zubehoer/winkel</t>
        </is>
      </c>
    </row>
    <row r="38">
      <c r="C38" s="16" t="inlineStr">
        <is>
          <t>Bogen für Kabelleiter, Höhe 45 mm, Breite 300 mm</t>
        </is>
      </c>
      <c r="E38" s="11" t="n">
        <v>43</v>
      </c>
      <c r="F38" t="inlineStr">
        <is>
          <t>Stk</t>
        </is>
      </c>
      <c r="G38" s="13" t="n">
        <v>82.5</v>
      </c>
      <c r="O38" s="13">
        <f>E38*G38</f>
        <v/>
      </c>
      <c r="Q38" t="inlineStr">
        <is>
          <t>https://www.obo.de/de-de/produkte/kabeltragsysteme/kabelleiter-zubehoer/bogen</t>
        </is>
      </c>
    </row>
    <row r="39">
      <c r="C39" s="16" t="inlineStr">
        <is>
          <t>Winkel für Kabelleiter, Höhe 45 mm, Breite 300 mm</t>
        </is>
      </c>
      <c r="E39" s="11" t="n">
        <v>1</v>
      </c>
      <c r="F39" t="inlineStr">
        <is>
          <t>Stk</t>
        </is>
      </c>
      <c r="G39" s="13" t="n">
        <v>41</v>
      </c>
      <c r="O39" s="13">
        <f>E39*G39</f>
        <v/>
      </c>
      <c r="Q39" t="inlineStr">
        <is>
          <t>https://www.obo.de/de-de/produkte/kabeltragsysteme/kabelrinnen-zubehoer/winkel</t>
        </is>
      </c>
    </row>
    <row r="40">
      <c r="C40" s="16" t="inlineStr">
        <is>
          <t>Bogen für Gitterrinne, Höhe 35 mm, Breite 300 mm</t>
        </is>
      </c>
      <c r="E40" s="11" t="n">
        <v>2</v>
      </c>
      <c r="F40" t="inlineStr">
        <is>
          <t>Stk</t>
        </is>
      </c>
      <c r="G40" s="13" t="n">
        <v>29.5</v>
      </c>
      <c r="O40" s="13">
        <f>E40*G40</f>
        <v/>
      </c>
      <c r="Q40" t="inlineStr">
        <is>
          <t>https://www.obo.de/de-de/produkte/kabeltragsysteme/gitterrinnen-zubehoer/bogen</t>
        </is>
      </c>
    </row>
    <row r="41">
      <c r="C41" s="16" t="inlineStr">
        <is>
          <t>Bogen für Gitterrinne, Höhe 55 mm, Breite 200 mm</t>
        </is>
      </c>
      <c r="E41" s="11" t="n">
        <v>16</v>
      </c>
      <c r="F41" t="inlineStr">
        <is>
          <t>Stk</t>
        </is>
      </c>
      <c r="G41" s="13" t="n">
        <v>32.8</v>
      </c>
      <c r="O41" s="13">
        <f>E41*G41</f>
        <v/>
      </c>
      <c r="Q41" t="inlineStr">
        <is>
          <t>https://www.obo.de/de-de/produkte/kabeltragsysteme/gitterrinnen-zubehoer/bogen</t>
        </is>
      </c>
    </row>
    <row r="42">
      <c r="C42" s="16" t="inlineStr">
        <is>
          <t>Bogen für Kabelrinne, Höhe 55 mm, Breite 100 mm</t>
        </is>
      </c>
      <c r="E42" s="11" t="n">
        <v>13</v>
      </c>
      <c r="F42" t="inlineStr">
        <is>
          <t>Stk</t>
        </is>
      </c>
      <c r="G42" s="13" t="n">
        <v>30.4</v>
      </c>
      <c r="O42" s="13">
        <f>E42*G42</f>
        <v/>
      </c>
      <c r="Q42" t="inlineStr">
        <is>
          <t>https://www.obo.de/de-de/produkte/bogen-rb-90-610-ft-90-100-60-1-zink-stahl-tauchfeuerverzinkt-7007006.html</t>
        </is>
      </c>
    </row>
    <row r="43">
      <c r="C43" s="16" t="inlineStr">
        <is>
          <t>Anschluss Kabelrinne 60/100 &gt; Abgang 100 mm</t>
        </is>
      </c>
      <c r="E43" s="11" t="n">
        <v>1</v>
      </c>
      <c r="F43" t="inlineStr">
        <is>
          <t>Stk</t>
        </is>
      </c>
      <c r="G43" s="13" t="n">
        <v>25.8</v>
      </c>
      <c r="O43" s="13">
        <f>E43*G43</f>
        <v/>
      </c>
      <c r="Q43" t="inlineStr">
        <is>
          <t>https://www.obo.de/de-de/produkte/kabeltragsysteme/kabelrinnen-zubehoer/anschluss</t>
        </is>
      </c>
    </row>
    <row r="44">
      <c r="C44" s="16" t="inlineStr">
        <is>
          <t>Anschluss Kabelrinne 60/300 &gt; Abgang 300 mm</t>
        </is>
      </c>
      <c r="E44" s="11" t="n">
        <v>3</v>
      </c>
      <c r="F44" t="inlineStr">
        <is>
          <t>Stk</t>
        </is>
      </c>
      <c r="G44" s="13" t="n">
        <v>42.3</v>
      </c>
      <c r="O44" s="13">
        <f>E44*G44</f>
        <v/>
      </c>
      <c r="Q44" t="inlineStr">
        <is>
          <t>https://www.obo.de/de-de/produkte/kabeltragsysteme/kabelrinnen-zubehoer/anschluss</t>
        </is>
      </c>
    </row>
    <row r="45">
      <c r="C45" s="16" t="inlineStr">
        <is>
          <t>Anschluss Kabelrinne 55/100 &gt; Abgang 100 mm</t>
        </is>
      </c>
      <c r="E45" s="11" t="n">
        <v>1</v>
      </c>
      <c r="F45" t="inlineStr">
        <is>
          <t>Stk</t>
        </is>
      </c>
      <c r="G45" s="13" t="n">
        <v>25.8</v>
      </c>
      <c r="O45" s="13">
        <f>E45*G45</f>
        <v/>
      </c>
      <c r="Q45" t="inlineStr">
        <is>
          <t>https://www.obo.de/de-de/produkte/kabeltragsysteme/kabelrinnen-zubehoer/anschluss</t>
        </is>
      </c>
    </row>
    <row r="46">
      <c r="C46" s="16" t="inlineStr">
        <is>
          <t>T-Abgang Kabelrinne 60/100 &gt; Abgang 100 mm</t>
        </is>
      </c>
      <c r="E46" s="11" t="n">
        <v>2</v>
      </c>
      <c r="F46" t="inlineStr">
        <is>
          <t>Stk</t>
        </is>
      </c>
      <c r="G46" s="13" t="n">
        <v>46.2</v>
      </c>
      <c r="O46" s="13">
        <f>E46*G46</f>
        <v/>
      </c>
      <c r="Q46" t="inlineStr">
        <is>
          <t>https://www.obo.de/de-de/produkte/kabeltragsysteme/kabelrinnen-zubehoer/t-stueck</t>
        </is>
      </c>
    </row>
    <row r="47">
      <c r="C47" s="16" t="inlineStr">
        <is>
          <t>T-Abgang Kabelleiter 45/300 &gt; Abgang 300 mm</t>
        </is>
      </c>
      <c r="E47" s="11" t="n">
        <v>1</v>
      </c>
      <c r="F47" t="inlineStr">
        <is>
          <t>Stk</t>
        </is>
      </c>
      <c r="G47" s="13" t="n">
        <v>118</v>
      </c>
      <c r="O47" s="13">
        <f>E47*G47</f>
        <v/>
      </c>
      <c r="Q47" t="inlineStr">
        <is>
          <t>https://www.obo.de/de-de/produkte/kabeltragsysteme/kabelrinnen-zubehoer/t-stueck</t>
        </is>
      </c>
    </row>
    <row r="48">
      <c r="C48" s="16" t="inlineStr">
        <is>
          <t>Winkel oben/unten Kabelrinne 60/100, normal</t>
        </is>
      </c>
      <c r="E48" s="11" t="n">
        <v>6</v>
      </c>
      <c r="F48" t="inlineStr">
        <is>
          <t>Stk</t>
        </is>
      </c>
      <c r="G48" s="13" t="n">
        <v>35.8</v>
      </c>
      <c r="O48" s="13">
        <f>E48*G48</f>
        <v/>
      </c>
      <c r="Q48" t="inlineStr">
        <is>
          <t>https://www.obo.de/de-de/produkte/kabeltragsysteme/kabelrinnen-zubehoer/winkel</t>
        </is>
      </c>
    </row>
    <row r="49">
      <c r="C49" s="16" t="inlineStr">
        <is>
          <t>Winkel oben/unten Kabelrinne 60/300, normal</t>
        </is>
      </c>
      <c r="E49" s="11" t="n">
        <v>17</v>
      </c>
      <c r="F49" t="inlineStr">
        <is>
          <t>Stk</t>
        </is>
      </c>
      <c r="G49" s="13" t="n">
        <v>56.4</v>
      </c>
      <c r="O49" s="13">
        <f>E49*G49</f>
        <v/>
      </c>
      <c r="Q49" t="inlineStr">
        <is>
          <t>https://www.obo.de/de-de/produkte/kabeltragsysteme/kabelrinnen-zubehoer/winkel</t>
        </is>
      </c>
    </row>
    <row r="50">
      <c r="C50" s="16" t="inlineStr">
        <is>
          <t>T-Hängestiel B = 400 mm</t>
        </is>
      </c>
      <c r="E50" s="11" t="n">
        <v>463</v>
      </c>
      <c r="F50" t="inlineStr">
        <is>
          <t>Stk</t>
        </is>
      </c>
      <c r="G50" s="13" t="n">
        <v>18.5</v>
      </c>
      <c r="O50" s="13">
        <f>E50*G50</f>
        <v/>
      </c>
      <c r="Q50" t="inlineStr">
        <is>
          <t>https://www.obo.de/de-de/produkte/wand-und-stielausleger-aw-15-ft-110-1-5-zink-6420656.html</t>
        </is>
      </c>
    </row>
    <row r="51">
      <c r="C51" s="16" t="inlineStr">
        <is>
          <t>Kabelbahnhalter, Wandmontage, L-Form, W=200 mm</t>
        </is>
      </c>
      <c r="E51" s="11" t="n">
        <v>288</v>
      </c>
      <c r="F51" t="inlineStr">
        <is>
          <t>Stk</t>
        </is>
      </c>
      <c r="G51" s="13" t="n">
        <v>12.4</v>
      </c>
      <c r="O51" s="13">
        <f>E51*G51</f>
        <v/>
      </c>
      <c r="Q51" t="inlineStr">
        <is>
          <t>https://www.obo.de/de-de/produkte/kabeltragsysteme/tragkonstruktionen</t>
        </is>
      </c>
    </row>
    <row r="52">
      <c r="C52" s="16" t="inlineStr">
        <is>
          <t>Kabelbahnhalter mit 1 Hängestiel, W=100 mm</t>
        </is>
      </c>
      <c r="E52" s="11" t="n">
        <v>360</v>
      </c>
      <c r="F52" t="inlineStr">
        <is>
          <t>Stk</t>
        </is>
      </c>
      <c r="G52" s="13" t="n">
        <v>9.800000000000001</v>
      </c>
      <c r="O52" s="13">
        <f>E52*G52</f>
        <v/>
      </c>
      <c r="Q52" t="inlineStr">
        <is>
          <t>https://www.obo.de/de-de/produkte/kabeltragsysteme/tragkonstruktionen</t>
        </is>
      </c>
    </row>
    <row r="53">
      <c r="C53" s="16" t="inlineStr">
        <is>
          <t>Kabelbahnhalter mit 1 Hängestiel, W=200 mm</t>
        </is>
      </c>
      <c r="E53" s="11" t="n">
        <v>26</v>
      </c>
      <c r="F53" t="inlineStr">
        <is>
          <t>Stk</t>
        </is>
      </c>
      <c r="G53" s="13" t="n">
        <v>11.9</v>
      </c>
      <c r="O53" s="13">
        <f>E53*G53</f>
        <v/>
      </c>
      <c r="Q53" t="inlineStr">
        <is>
          <t>https://www.obo.de/de-de/produkte/kabeltragsysteme/tragkonstruktionen</t>
        </is>
      </c>
    </row>
    <row r="54">
      <c r="C54" s="16" t="inlineStr">
        <is>
          <t>Kabelbahnhalter mit 1 Hängestiel, W=300 mm</t>
        </is>
      </c>
      <c r="E54" s="11" t="n">
        <v>495</v>
      </c>
      <c r="F54" t="inlineStr">
        <is>
          <t>Stk</t>
        </is>
      </c>
      <c r="G54" s="13" t="n">
        <v>14.2</v>
      </c>
      <c r="O54" s="13">
        <f>E54*G54</f>
        <v/>
      </c>
      <c r="Q54" t="inlineStr">
        <is>
          <t>https://www.obo.de/de-de/produkte/kabeltragsysteme/tragkonstruktionen</t>
        </is>
      </c>
    </row>
    <row r="55">
      <c r="C55" s="16" t="inlineStr">
        <is>
          <t>Brüstungskanal, bauseits, 50 Hertz</t>
        </is>
      </c>
      <c r="E55" s="11" t="n">
        <v>24.48</v>
      </c>
      <c r="F55" t="inlineStr">
        <is>
          <t>m</t>
        </is>
      </c>
      <c r="G55" s="13" t="n">
        <v>19.5</v>
      </c>
      <c r="O55" s="13">
        <f>E55*G55</f>
        <v/>
      </c>
      <c r="Q55" t="inlineStr">
        <is>
          <t>https://www.obo.de/de-de/produkte/installation-und-gebaeudesysteme/bruestungskanalsysteme</t>
        </is>
      </c>
    </row>
    <row r="56">
      <c r="C56" s="16" t="inlineStr">
        <is>
          <t>Sammelhalter, 2 Stk/m, 80 mm x 170 mm</t>
        </is>
      </c>
      <c r="E56" s="11" t="n">
        <v>203.2</v>
      </c>
      <c r="F56" t="inlineStr">
        <is>
          <t>m</t>
        </is>
      </c>
      <c r="G56" s="13" t="n">
        <v>11.8</v>
      </c>
      <c r="O56" s="13">
        <f>E56*G56</f>
        <v/>
      </c>
      <c r="Q56" t="inlineStr">
        <is>
          <t>https://www.obo.de/de-de/produkte/sammelhalter-2-stueck-m-pfsh-80-170</t>
        </is>
      </c>
    </row>
    <row r="57">
      <c r="C57" s="16" t="inlineStr">
        <is>
          <t>Brüstungskanal Rapid 80, Höhe 70 x Breite 110 mm</t>
        </is>
      </c>
      <c r="E57" s="11" t="n">
        <v>246.66</v>
      </c>
      <c r="F57" t="inlineStr">
        <is>
          <t>m</t>
        </is>
      </c>
      <c r="G57" s="13" t="n">
        <v>14.6</v>
      </c>
      <c r="O57" s="13">
        <f>E57*G57</f>
        <v/>
      </c>
      <c r="Q57" t="inlineStr">
        <is>
          <t>https://www.obo.de/de-de/produkte/geraeteeinbaukanal-rapid-80-kanalbreite-110-kanalhoehe-70-2000-reinweiss-ral-9010-6274300.html</t>
        </is>
      </c>
    </row>
    <row r="58">
      <c r="C58" s="16" t="inlineStr">
        <is>
          <t>Fußbodenkanaldose UDHOME, mit Blinddeckel, rund</t>
        </is>
      </c>
      <c r="E58" s="11" t="n">
        <v>144</v>
      </c>
      <c r="F58" t="inlineStr">
        <is>
          <t>Stk</t>
        </is>
      </c>
      <c r="G58" s="13" t="n">
        <v>186</v>
      </c>
      <c r="O58" s="13">
        <f>E58*G58</f>
        <v/>
      </c>
      <c r="Q58" t="inlineStr">
        <is>
          <t>https://www.obo.de/de-de/produkte/bodensteckdose-udhome2-vt2-7427097.html</t>
        </is>
      </c>
    </row>
    <row r="59">
      <c r="C59" s="16" t="inlineStr">
        <is>
          <t>SAA Datenkabel Kat-7 duplex, 2x4x2xAWG23</t>
        </is>
      </c>
      <c r="E59" s="11" t="n">
        <v>1773</v>
      </c>
      <c r="F59" t="inlineStr">
        <is>
          <t>m</t>
        </is>
      </c>
      <c r="G59" s="13" t="n">
        <v>2.45</v>
      </c>
      <c r="O59" s="13">
        <f>E59*G59</f>
        <v/>
      </c>
      <c r="Q59" t="inlineStr">
        <is>
          <t>https://www.metz-connect.com/home/produkte/p-cabling/kabel-und-leitungen/installationskabel-kupfer.e5.de.html</t>
        </is>
      </c>
    </row>
    <row r="60">
      <c r="C60" s="16" t="inlineStr">
        <is>
          <t>Leitung Lautsprecher J-Y(St)Y 4x2x0,8</t>
        </is>
      </c>
      <c r="E60" s="11" t="n">
        <v>432.61</v>
      </c>
      <c r="F60" t="inlineStr">
        <is>
          <t>m</t>
        </is>
      </c>
      <c r="G60" s="13" t="n">
        <v>0.85</v>
      </c>
      <c r="O60" s="13">
        <f>E60*G60</f>
        <v/>
      </c>
      <c r="Q60" t="inlineStr">
        <is>
          <t>https://www.metz-connect.com/home/produkte/p-cabling/kabel-und-leitungen.e1.de.html</t>
        </is>
      </c>
    </row>
    <row r="61">
      <c r="C61" s="16" t="inlineStr">
        <is>
          <t>Netzwerkschrank IBG 42 HE (Rittal VX IT, 800x1000)</t>
        </is>
      </c>
      <c r="E61" s="11" t="n">
        <v>32</v>
      </c>
      <c r="F61" t="inlineStr">
        <is>
          <t>Stk</t>
        </is>
      </c>
      <c r="G61" s="13" t="n">
        <v>1335</v>
      </c>
      <c r="O61" s="13">
        <f>E61*G61</f>
        <v/>
      </c>
      <c r="Q61" t="inlineStr">
        <is>
          <t>https://www.rittal.com/de-de/products/PG0001SCHRANKSYSTEME1/PG0758VX_ITSCHRANKSYSTEME</t>
        </is>
      </c>
    </row>
    <row r="63">
      <c r="C63" s="17" t="inlineStr">
        <is>
          <t>GESAMTSUMME (netto)</t>
        </is>
      </c>
      <c r="O63" s="18">
        <f>SUM(O5:O61)</f>
        <v/>
      </c>
    </row>
    <row r="64">
      <c r="Y64" s="19" t="inlineStr">
        <is>
          <t>Hinweis:</t>
        </is>
      </c>
    </row>
    <row r="65">
      <c r="Y65" s="16" t="inlineStr">
        <is>
          <t>Preise sind unverbindliche Listenrichtpreise (netto, ohne Skonto/Projektrabatt).</t>
        </is>
      </c>
    </row>
    <row r="66">
      <c r="Y66" s="16" t="inlineStr">
        <is>
          <t>Produkte beispielhaft aus dem Hersteller-Sortiment ausgewählt — finale Auswahl vor Bestellung verifizieren.</t>
        </is>
      </c>
    </row>
  </sheetData>
  <hyperlinks>
    <hyperlink xmlns:r="http://schemas.openxmlformats.org/officeDocument/2006/relationships" ref="P5" r:id="rId1"/>
    <hyperlink xmlns:r="http://schemas.openxmlformats.org/officeDocument/2006/relationships" ref="Q5" r:id="rId2"/>
    <hyperlink xmlns:r="http://schemas.openxmlformats.org/officeDocument/2006/relationships" ref="P6" display="https://ibgoetz.sharepoint.com/:b:/s/IBG_Gewerbe/IQC30NCBU9A_TKQDbCNJgepgAZR8CeUhfyKy5Hk9NjtHBN0?e=96lFEy" r:id="rId3"/>
    <hyperlink xmlns:r="http://schemas.openxmlformats.org/officeDocument/2006/relationships" ref="Q6" r:id="rId4"/>
    <hyperlink xmlns:r="http://schemas.openxmlformats.org/officeDocument/2006/relationships" ref="P7" display="https://ibgoetz.sharepoint.com/:b:/s/IBG_Gewerbe/IQC30NCBU9A_TKQDbCNJgepgAZR8CeUhfyKy5Hk9NjtHBN0?e=96lFEy" r:id="rId5"/>
    <hyperlink xmlns:r="http://schemas.openxmlformats.org/officeDocument/2006/relationships" ref="Q7" r:id="rId6"/>
    <hyperlink xmlns:r="http://schemas.openxmlformats.org/officeDocument/2006/relationships" ref="P8" r:id="rId7"/>
    <hyperlink xmlns:r="http://schemas.openxmlformats.org/officeDocument/2006/relationships" ref="Q8" r:id="rId8"/>
    <hyperlink xmlns:r="http://schemas.openxmlformats.org/officeDocument/2006/relationships" ref="P9" r:id="rId9"/>
    <hyperlink xmlns:r="http://schemas.openxmlformats.org/officeDocument/2006/relationships" ref="Q9" r:id="rId10"/>
    <hyperlink xmlns:r="http://schemas.openxmlformats.org/officeDocument/2006/relationships" ref="P10" r:id="rId11"/>
    <hyperlink xmlns:r="http://schemas.openxmlformats.org/officeDocument/2006/relationships" ref="Q10" r:id="rId12"/>
    <hyperlink xmlns:r="http://schemas.openxmlformats.org/officeDocument/2006/relationships" ref="P11" r:id="rId13"/>
    <hyperlink xmlns:r="http://schemas.openxmlformats.org/officeDocument/2006/relationships" ref="Q11" r:id="rId14"/>
    <hyperlink xmlns:r="http://schemas.openxmlformats.org/officeDocument/2006/relationships" ref="P12" r:id="rId15"/>
    <hyperlink xmlns:r="http://schemas.openxmlformats.org/officeDocument/2006/relationships" ref="Q12" r:id="rId16"/>
    <hyperlink xmlns:r="http://schemas.openxmlformats.org/officeDocument/2006/relationships" ref="Q13" r:id="rId17"/>
    <hyperlink xmlns:r="http://schemas.openxmlformats.org/officeDocument/2006/relationships" ref="P14" r:id="rId18"/>
    <hyperlink xmlns:r="http://schemas.openxmlformats.org/officeDocument/2006/relationships" ref="Q14" r:id="rId19"/>
    <hyperlink xmlns:r="http://schemas.openxmlformats.org/officeDocument/2006/relationships" ref="Q15" r:id="rId20"/>
    <hyperlink xmlns:r="http://schemas.openxmlformats.org/officeDocument/2006/relationships" ref="Q16" r:id="rId21"/>
    <hyperlink xmlns:r="http://schemas.openxmlformats.org/officeDocument/2006/relationships" ref="Q19" r:id="rId22"/>
    <hyperlink xmlns:r="http://schemas.openxmlformats.org/officeDocument/2006/relationships" ref="Q20" r:id="rId23"/>
    <hyperlink xmlns:r="http://schemas.openxmlformats.org/officeDocument/2006/relationships" ref="Q21" r:id="rId24"/>
    <hyperlink xmlns:r="http://schemas.openxmlformats.org/officeDocument/2006/relationships" ref="Q22" r:id="rId25"/>
    <hyperlink xmlns:r="http://schemas.openxmlformats.org/officeDocument/2006/relationships" ref="Q23" r:id="rId26"/>
    <hyperlink xmlns:r="http://schemas.openxmlformats.org/officeDocument/2006/relationships" ref="Q24" r:id="rId27"/>
    <hyperlink xmlns:r="http://schemas.openxmlformats.org/officeDocument/2006/relationships" ref="Q28" r:id="rId28"/>
    <hyperlink xmlns:r="http://schemas.openxmlformats.org/officeDocument/2006/relationships" ref="Q29" r:id="rId29"/>
    <hyperlink xmlns:r="http://schemas.openxmlformats.org/officeDocument/2006/relationships" ref="Q30" r:id="rId30"/>
    <hyperlink xmlns:r="http://schemas.openxmlformats.org/officeDocument/2006/relationships" ref="Q31" r:id="rId31"/>
    <hyperlink xmlns:r="http://schemas.openxmlformats.org/officeDocument/2006/relationships" ref="Q32" r:id="rId32"/>
    <hyperlink xmlns:r="http://schemas.openxmlformats.org/officeDocument/2006/relationships" ref="Q33" r:id="rId33"/>
    <hyperlink xmlns:r="http://schemas.openxmlformats.org/officeDocument/2006/relationships" ref="Q34" r:id="rId34"/>
    <hyperlink xmlns:r="http://schemas.openxmlformats.org/officeDocument/2006/relationships" ref="Q35" r:id="rId35"/>
    <hyperlink xmlns:r="http://schemas.openxmlformats.org/officeDocument/2006/relationships" ref="Q36" r:id="rId36"/>
    <hyperlink xmlns:r="http://schemas.openxmlformats.org/officeDocument/2006/relationships" ref="Q37" r:id="rId37"/>
    <hyperlink xmlns:r="http://schemas.openxmlformats.org/officeDocument/2006/relationships" ref="Q38" r:id="rId38"/>
    <hyperlink xmlns:r="http://schemas.openxmlformats.org/officeDocument/2006/relationships" ref="Q39" r:id="rId39"/>
    <hyperlink xmlns:r="http://schemas.openxmlformats.org/officeDocument/2006/relationships" ref="Q40" r:id="rId40"/>
    <hyperlink xmlns:r="http://schemas.openxmlformats.org/officeDocument/2006/relationships" ref="Q41" r:id="rId41"/>
    <hyperlink xmlns:r="http://schemas.openxmlformats.org/officeDocument/2006/relationships" ref="Q42" r:id="rId42"/>
    <hyperlink xmlns:r="http://schemas.openxmlformats.org/officeDocument/2006/relationships" ref="Q43" r:id="rId43"/>
    <hyperlink xmlns:r="http://schemas.openxmlformats.org/officeDocument/2006/relationships" ref="Q44" r:id="rId44"/>
    <hyperlink xmlns:r="http://schemas.openxmlformats.org/officeDocument/2006/relationships" ref="Q45" r:id="rId45"/>
    <hyperlink xmlns:r="http://schemas.openxmlformats.org/officeDocument/2006/relationships" ref="Q46" r:id="rId46"/>
    <hyperlink xmlns:r="http://schemas.openxmlformats.org/officeDocument/2006/relationships" ref="Q47" r:id="rId47"/>
    <hyperlink xmlns:r="http://schemas.openxmlformats.org/officeDocument/2006/relationships" ref="Q48" r:id="rId48"/>
    <hyperlink xmlns:r="http://schemas.openxmlformats.org/officeDocument/2006/relationships" ref="Q49" r:id="rId49"/>
    <hyperlink xmlns:r="http://schemas.openxmlformats.org/officeDocument/2006/relationships" ref="Q50" r:id="rId50"/>
    <hyperlink xmlns:r="http://schemas.openxmlformats.org/officeDocument/2006/relationships" ref="Q51" r:id="rId51"/>
    <hyperlink xmlns:r="http://schemas.openxmlformats.org/officeDocument/2006/relationships" ref="Q52" r:id="rId52"/>
    <hyperlink xmlns:r="http://schemas.openxmlformats.org/officeDocument/2006/relationships" ref="Q53" r:id="rId53"/>
    <hyperlink xmlns:r="http://schemas.openxmlformats.org/officeDocument/2006/relationships" ref="Q54" r:id="rId54"/>
    <hyperlink xmlns:r="http://schemas.openxmlformats.org/officeDocument/2006/relationships" ref="Q55" r:id="rId55"/>
    <hyperlink xmlns:r="http://schemas.openxmlformats.org/officeDocument/2006/relationships" ref="Q56" r:id="rId56"/>
    <hyperlink xmlns:r="http://schemas.openxmlformats.org/officeDocument/2006/relationships" ref="Q57" r:id="rId57"/>
    <hyperlink xmlns:r="http://schemas.openxmlformats.org/officeDocument/2006/relationships" ref="Q58" r:id="rId58"/>
    <hyperlink xmlns:r="http://schemas.openxmlformats.org/officeDocument/2006/relationships" ref="Q59" r:id="rId59"/>
    <hyperlink xmlns:r="http://schemas.openxmlformats.org/officeDocument/2006/relationships" ref="Q60" r:id="rId60"/>
    <hyperlink xmlns:r="http://schemas.openxmlformats.org/officeDocument/2006/relationships" ref="Q61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Ganev</dc:creator>
  <dcterms:created xsi:type="dcterms:W3CDTF">2015-06-05T18:19:34Z</dcterms:created>
  <dcterms:modified xsi:type="dcterms:W3CDTF">2026-05-12T12:16:04Z</dcterms:modified>
  <cp:lastModifiedBy>Victor Ganev</cp:lastModifiedBy>
</cp:coreProperties>
</file>